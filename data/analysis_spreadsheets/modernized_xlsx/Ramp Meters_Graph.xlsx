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ession Results" sheetId="1" state="visible" r:id="rId3"/>
    <sheet name="Chart1" sheetId="2" state="visible" r:id="rId4"/>
    <sheet name="Data" sheetId="3" state="visible" r:id="rId5"/>
  </sheets>
  <definedNames>
    <definedName function="false" hidden="false" localSheetId="2" name="_xlnm.Print_Area" vbProcedure="false">Data!$A$1:$P$28</definedName>
    <definedName function="false" hidden="false" localSheetId="0" name="_xlnm.Print_Area" vbProcedure="false">'Regression Results'!$A$1:$I$20</definedName>
    <definedName function="false" hidden="false" name="K" vbProcedure="false">Data!$E$3:$P$3</definedName>
    <definedName function="false" hidden="false" name="Passengers" vbProcedure="false">Data!$B$3:$B$18</definedName>
    <definedName function="false" hidden="false" name="Year" vbProcedure="false">Data!$A$4:$A$18</definedName>
    <definedName function="false" hidden="false" name="_Fill" vbProcedure="false">#REF!</definedName>
    <definedName function="false" hidden="false" name="_Regression_Out" vbProcedure="false">#REF!</definedName>
    <definedName function="false" hidden="false" name="_Regression_X" vbProcedure="false">#REF!</definedName>
    <definedName function="false" hidden="false" name="_Regression_Y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<sst xmlns="http://schemas.openxmlformats.org/spreadsheetml/2006/main" count="47" uniqueCount="39">
  <si>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</si>
  <si>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</si>
  <si>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</si>
  <si>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</si>
  <si>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</si>
  <si>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</si>
  <si>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</si>
  <si>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</si>
  <si>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</si>
  <si>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</si>
  <si>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</si>
  <si>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</si>
  <si>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</si>
  <si>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</si>
  <si>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</si>
  <si>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</si>
  <si>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</si>
  <si>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</si>
  <si>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</si>
  <si>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</si>
  <si>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</si>
  <si>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</si>
  <si>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</si>
  <si>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</si>
  <si>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</si>
  <si>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Ramp Metering in Minnesota</t>
  </si>
  <si>
    <t xml:space="preserve">Ramp meters</t>
  </si>
  <si>
    <t xml:space="preserve">y at k=</t>
  </si>
  <si>
    <t xml:space="preserve">K=</t>
  </si>
  <si>
    <t xml:space="preserve">Year</t>
  </si>
  <si>
    <t xml:space="preserve">installed (Nos.)</t>
  </si>
  <si>
    <t xml:space="preserve">predicted (Nos.)</t>
  </si>
  <si>
    <t xml:space="preserve">Tools</t>
  </si>
  <si>
    <t xml:space="preserve">Data Analysis</t>
  </si>
  <si>
    <t xml:space="preserve">Y = J4:J18</t>
  </si>
  <si>
    <t xml:space="preserve">Try d4:d18 to o4:o18</t>
  </si>
  <si>
    <t xml:space="preserve">Best Fit at K=570</t>
  </si>
  <si>
    <t xml:space="preserve">X = A4:A18</t>
  </si>
  <si>
    <t xml:space="preserve">See Results on Page "Regression Results"</t>
  </si>
</sst>
</file>

<file path=xl/styles.xml><?xml version="1.0" encoding="utf-8"?>
<styleSheet xmlns="http://schemas.openxmlformats.org/spreadsheetml/2006/main">
  <numFmts count="3">
    <numFmt numFmtId="164" formatCode="General_);[RED]\-General_)"/>
    <numFmt numFmtId="165" formatCode="0"/>
    <numFmt numFmtId="166" formatCode="0_);[RED]\-0_)"/>
  </numFmts>
  <fonts count="9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Geneva"/>
      <family val="0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0"/>
      <name val="Geneva"/>
      <family val="0"/>
      <charset val="178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Number of Ramp Meters in Minnesota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"Ramp Meters"</c:f>
              <c:strCache>
                <c:ptCount val="1"/>
                <c:pt idx="0">
                  <c:v>Ramp Meters</c:v>
                </c:pt>
              </c:strCache>
            </c:strRef>
          </c:tx>
          <c:spPr>
            <a:solidFill>
              <a:srgbClr val="000080"/>
            </a:solidFill>
            <a:ln w="0">
              <a:noFill/>
            </a:ln>
          </c:spPr>
          <c:marker>
            <c:symbol val="triangle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Data!$A$34:$A$67</c:f>
              <c:numCache>
                <c:formatCode>General_);[RED]\-General_)</c:formatCode>
                <c:ptCount val="3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</c:numCache>
            </c:numRef>
          </c:xVal>
          <c:yVal>
            <c:numRef>
              <c:f>Data!$B$34:$B$67</c:f>
              <c:numCache>
                <c:formatCode>General_);[RED]\-General_)</c:formatCode>
                <c:ptCount val="34"/>
                <c:pt idx="0">
                  <c:v>4</c:v>
                </c:pt>
                <c:pt idx="1">
                  <c:v>8</c:v>
                </c:pt>
                <c:pt idx="3">
                  <c:v>47</c:v>
                </c:pt>
                <c:pt idx="9">
                  <c:v>60</c:v>
                </c:pt>
                <c:pt idx="14">
                  <c:v>63</c:v>
                </c:pt>
                <c:pt idx="15">
                  <c:v>68</c:v>
                </c:pt>
                <c:pt idx="18">
                  <c:v>70</c:v>
                </c:pt>
                <c:pt idx="19">
                  <c:v>134</c:v>
                </c:pt>
                <c:pt idx="20">
                  <c:v>217</c:v>
                </c:pt>
                <c:pt idx="21">
                  <c:v>271</c:v>
                </c:pt>
                <c:pt idx="22">
                  <c:v>323</c:v>
                </c:pt>
                <c:pt idx="23">
                  <c:v>362</c:v>
                </c:pt>
                <c:pt idx="24">
                  <c:v>387</c:v>
                </c:pt>
                <c:pt idx="29">
                  <c:v>429</c:v>
                </c:pt>
                <c:pt idx="31">
                  <c:v>500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"Ramp meters-predicted"</c:f>
              <c:strCache>
                <c:ptCount val="1"/>
                <c:pt idx="0">
                  <c:v>Ramp meters-predicted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circl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Data!$A$34:$A$67</c:f>
              <c:numCache>
                <c:formatCode>General_);[RED]\-General_)</c:formatCode>
                <c:ptCount val="3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</c:numCache>
            </c:numRef>
          </c:xVal>
          <c:yVal>
            <c:numRef>
              <c:f>Data!$C$34:$C$67</c:f>
              <c:numCache>
                <c:formatCode>0</c:formatCode>
                <c:ptCount val="34"/>
                <c:pt idx="0">
                  <c:v>6.51714828898586</c:v>
                </c:pt>
                <c:pt idx="1">
                  <c:v>7.89234567034793</c:v>
                </c:pt>
                <c:pt idx="2">
                  <c:v>9.55280686824858</c:v>
                </c:pt>
                <c:pt idx="3">
                  <c:v>11.5554289724528</c:v>
                </c:pt>
                <c:pt idx="4">
                  <c:v>13.9674120279662</c:v>
                </c:pt>
                <c:pt idx="5">
                  <c:v>16.8676453757095</c:v>
                </c:pt>
                <c:pt idx="6">
                  <c:v>20.3480534441764</c:v>
                </c:pt>
                <c:pt idx="7">
                  <c:v>24.514768493404</c:v>
                </c:pt>
                <c:pt idx="8">
                  <c:v>29.4889350116599</c:v>
                </c:pt>
                <c:pt idx="9">
                  <c:v>35.4068727822933</c:v>
                </c:pt>
                <c:pt idx="10">
                  <c:v>42.4192368691774</c:v>
                </c:pt>
                <c:pt idx="11">
                  <c:v>50.6887233031523</c:v>
                </c:pt>
                <c:pt idx="12">
                  <c:v>60.3857995086528</c:v>
                </c:pt>
                <c:pt idx="13">
                  <c:v>71.6819221288316</c:v>
                </c:pt>
                <c:pt idx="14">
                  <c:v>84.7397896754779</c:v>
                </c:pt>
                <c:pt idx="15">
                  <c:v>99.7004205188052</c:v>
                </c:pt>
                <c:pt idx="16">
                  <c:v>116.667299872894</c:v>
                </c:pt>
                <c:pt idx="17">
                  <c:v>135.688520790817</c:v>
                </c:pt>
                <c:pt idx="18">
                  <c:v>156.738699198806</c:v>
                </c:pt>
                <c:pt idx="19">
                  <c:v>179.7033075743</c:v>
                </c:pt>
                <c:pt idx="20">
                  <c:v>204.368665013442</c:v>
                </c:pt>
                <c:pt idx="21">
                  <c:v>230.42080020715</c:v>
                </c:pt>
                <c:pt idx="22">
                  <c:v>257.455495680661</c:v>
                </c:pt>
                <c:pt idx="23">
                  <c:v>285</c:v>
                </c:pt>
                <c:pt idx="24">
                  <c:v>312.544504319339</c:v>
                </c:pt>
                <c:pt idx="25">
                  <c:v>339.57919979285</c:v>
                </c:pt>
                <c:pt idx="26">
                  <c:v>365.631334986558</c:v>
                </c:pt>
                <c:pt idx="27">
                  <c:v>390.2966924257</c:v>
                </c:pt>
                <c:pt idx="28">
                  <c:v>413.261300801194</c:v>
                </c:pt>
                <c:pt idx="29">
                  <c:v>434.311479209183</c:v>
                </c:pt>
                <c:pt idx="30">
                  <c:v>453.332700127106</c:v>
                </c:pt>
                <c:pt idx="31">
                  <c:v>470.299579481195</c:v>
                </c:pt>
              </c:numCache>
            </c:numRef>
          </c:yVal>
          <c:smooth val="1"/>
        </c:ser>
        <c:axId val="45844901"/>
        <c:axId val="40966669"/>
      </c:scatterChart>
      <c:valAx>
        <c:axId val="458449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_);[RED]\-General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0966669"/>
        <c:crossesAt val="0"/>
        <c:crossBetween val="midCat"/>
        <c:majorUnit val="2"/>
      </c:valAx>
      <c:valAx>
        <c:axId val="4096666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Ramp Meters (Nos.)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5844901"/>
        <c:crossesAt val="0"/>
        <c:crossBetween val="midCat"/>
      </c:valAx>
      <c:spPr>
        <a:solidFill>
          <a:srgbClr val="FFFFFF"/>
        </a:solidFill>
        <a:ln w="0">
          <a:solidFill>
            <a:srgbClr val="333333"/>
          </a:solidFill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9</xdr:col>
      <xdr:colOff>656280</xdr:colOff>
      <xdr:row>34</xdr:row>
      <xdr:rowOff>84960</xdr:rowOff>
    </xdr:to>
    <xdr:graphicFrame>
      <xdr:nvGraphicFramePr>
        <xdr:cNvPr id="1" name=" 0"/>
        <xdr:cNvGraphicFramePr/>
      </xdr:nvGraphicFramePr>
      <xdr:xfrm>
        <a:off x="360360" y="179640"/>
        <a:ext cx="7611120" cy="54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015625" defaultRowHeight="12" customHeight="false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0.28"/>
    <col collapsed="false" customWidth="true" hidden="false" outlineLevel="0" max="3" min="3" style="0" width="12.27"/>
    <col collapsed="false" customWidth="true" hidden="false" outlineLevel="0" max="6" min="6" style="0" width="11.7"/>
    <col collapsed="false" customWidth="true" hidden="false" outlineLevel="0" max="7" min="7" style="0" width="10.42"/>
    <col collapsed="false" customWidth="true" hidden="false" outlineLevel="0" max="8" min="8" style="0" width="11.56"/>
    <col collapsed="false" customWidth="true" hidden="false" outlineLevel="0" max="9" min="9" style="0" width="11.14"/>
  </cols>
  <sheetData>
    <row r="1" customFormat="false" ht="12" hidden="false" customHeight="false" outlineLevel="0" collapsed="false">
      <c r="A1" s="0" t="s">
        <v>0</v>
      </c>
    </row>
    <row r="2" customFormat="false" ht="12.75" hidden="false" customHeight="false" outlineLevel="0" collapsed="false"/>
    <row r="3" customFormat="false" ht="12" hidden="false" customHeight="false" outlineLevel="0" collapsed="false">
      <c r="A3" s="1" t="s">
        <v>1</v>
      </c>
      <c r="B3" s="1"/>
    </row>
    <row r="4" customFormat="false" ht="12" hidden="false" customHeight="false" outlineLevel="0" collapsed="false">
      <c r="A4" s="2" t="s">
        <v>2</v>
      </c>
      <c r="B4" s="2" t="n">
        <v>0.95135100537911</v>
      </c>
    </row>
    <row r="5" customFormat="false" ht="12" hidden="false" customHeight="false" outlineLevel="0" collapsed="false">
      <c r="A5" s="2" t="s">
        <v>3</v>
      </c>
      <c r="B5" s="2" t="n">
        <v>0.905068735435843</v>
      </c>
    </row>
    <row r="6" customFormat="false" ht="12" hidden="false" customHeight="false" outlineLevel="0" collapsed="false">
      <c r="A6" s="2" t="s">
        <v>4</v>
      </c>
      <c r="B6" s="2" t="n">
        <v>0.89776633046937</v>
      </c>
    </row>
    <row r="7" customFormat="false" ht="12" hidden="false" customHeight="false" outlineLevel="0" collapsed="false">
      <c r="A7" s="2" t="s">
        <v>5</v>
      </c>
      <c r="B7" s="2" t="n">
        <v>0.626791262498003</v>
      </c>
    </row>
    <row r="8" customFormat="false" ht="12.75" hidden="false" customHeight="false" outlineLevel="0" collapsed="false">
      <c r="A8" s="3" t="s">
        <v>6</v>
      </c>
      <c r="B8" s="3" t="n">
        <v>15</v>
      </c>
    </row>
    <row r="10" customFormat="false" ht="12.75" hidden="false" customHeight="false" outlineLevel="0" collapsed="false">
      <c r="A10" s="0" t="s">
        <v>7</v>
      </c>
    </row>
    <row r="11" customFormat="false" ht="12" hidden="false" customHeight="false" outlineLevel="0" collapsed="false">
      <c r="A11" s="1"/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</row>
    <row r="12" customFormat="false" ht="12" hidden="false" customHeight="false" outlineLevel="0" collapsed="false">
      <c r="A12" s="2" t="s">
        <v>13</v>
      </c>
      <c r="B12" s="2" t="n">
        <v>1</v>
      </c>
      <c r="C12" s="2" t="n">
        <v>48.6924376338809</v>
      </c>
      <c r="D12" s="2" t="n">
        <v>48.6924376338809</v>
      </c>
      <c r="E12" s="2" t="n">
        <v>123.941186443527</v>
      </c>
      <c r="F12" s="2" t="n">
        <v>5.11036346248804E-008</v>
      </c>
    </row>
    <row r="13" customFormat="false" ht="12" hidden="false" customHeight="false" outlineLevel="0" collapsed="false">
      <c r="A13" s="2" t="s">
        <v>14</v>
      </c>
      <c r="B13" s="2" t="n">
        <v>13</v>
      </c>
      <c r="C13" s="2" t="n">
        <v>5.10727472766993</v>
      </c>
      <c r="D13" s="2" t="n">
        <v>0.39286728674384</v>
      </c>
      <c r="E13" s="2"/>
      <c r="F13" s="2"/>
    </row>
    <row r="14" customFormat="false" ht="12.75" hidden="false" customHeight="false" outlineLevel="0" collapsed="false">
      <c r="A14" s="3" t="s">
        <v>15</v>
      </c>
      <c r="B14" s="3" t="n">
        <v>14</v>
      </c>
      <c r="C14" s="3" t="n">
        <v>53.7997123615508</v>
      </c>
      <c r="D14" s="3"/>
      <c r="E14" s="3"/>
      <c r="F14" s="3"/>
    </row>
    <row r="15" customFormat="false" ht="12.75" hidden="false" customHeight="false" outlineLevel="0" collapsed="false"/>
    <row r="16" customFormat="false" ht="12" hidden="false" customHeight="false" outlineLevel="0" collapsed="false">
      <c r="A16" s="1"/>
      <c r="B16" s="1" t="s">
        <v>16</v>
      </c>
      <c r="C16" s="1" t="s">
        <v>5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21</v>
      </c>
      <c r="I16" s="1" t="s">
        <v>22</v>
      </c>
    </row>
    <row r="17" customFormat="false" ht="12" hidden="false" customHeight="false" outlineLevel="0" collapsed="false">
      <c r="A17" s="2" t="s">
        <v>23</v>
      </c>
      <c r="B17" s="2" t="n">
        <v>-386.256489400291</v>
      </c>
      <c r="C17" s="2" t="n">
        <v>34.5941486765802</v>
      </c>
      <c r="D17" s="2" t="n">
        <v>-11.1653705663173</v>
      </c>
      <c r="E17" s="2" t="n">
        <v>4.93693522742966E-008</v>
      </c>
      <c r="F17" s="2" t="n">
        <v>-460.992589486043</v>
      </c>
      <c r="G17" s="2" t="n">
        <v>-311.52038931454</v>
      </c>
      <c r="H17" s="2" t="n">
        <v>-460.992589486043</v>
      </c>
      <c r="I17" s="2" t="n">
        <v>-311.52038931454</v>
      </c>
    </row>
    <row r="18" customFormat="false" ht="12.75" hidden="false" customHeight="false" outlineLevel="0" collapsed="false">
      <c r="A18" s="3" t="s">
        <v>24</v>
      </c>
      <c r="B18" s="3" t="n">
        <v>0.193863160510408</v>
      </c>
      <c r="C18" s="3" t="n">
        <v>0.0174135558872593</v>
      </c>
      <c r="D18" s="3" t="n">
        <v>11.1328876058134</v>
      </c>
      <c r="E18" s="3" t="n">
        <v>5.11036346245206E-008</v>
      </c>
      <c r="F18" s="3" t="n">
        <v>0.15624346742861</v>
      </c>
      <c r="G18" s="3" t="n">
        <v>0.231482853592207</v>
      </c>
      <c r="H18" s="3" t="n">
        <v>0.15624346742861</v>
      </c>
      <c r="I18" s="3" t="n">
        <v>0.231482853592207</v>
      </c>
    </row>
  </sheetData>
  <mergeCells count="1">
    <mergeCell ref="A3:B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9" zoomScaleNormal="99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P28"/>
    </sheetView>
  </sheetViews>
  <sheetFormatPr defaultColWidth="11.41796875" defaultRowHeight="12" customHeight="false" zeroHeight="false" outlineLevelRow="0" outlineLevelCol="0"/>
  <cols>
    <col collapsed="false" customWidth="true" hidden="false" outlineLevel="0" max="3" min="2" style="0" width="12.42"/>
  </cols>
  <sheetData>
    <row r="1" customFormat="false" ht="12.75" hidden="false" customHeight="false" outlineLevel="0" collapsed="false">
      <c r="A1" s="4" t="s">
        <v>25</v>
      </c>
      <c r="B1" s="4"/>
    </row>
    <row r="2" customFormat="false" ht="12.75" hidden="false" customHeight="false" outlineLevel="0" collapsed="false">
      <c r="B2" s="0" t="s">
        <v>26</v>
      </c>
      <c r="C2" s="0" t="s">
        <v>26</v>
      </c>
      <c r="F2" s="0" t="s">
        <v>27</v>
      </c>
      <c r="I2" s="0" t="s">
        <v>28</v>
      </c>
    </row>
    <row r="3" customFormat="false" ht="12" hidden="false" customHeight="false" outlineLevel="0" collapsed="false">
      <c r="A3" s="0" t="s">
        <v>29</v>
      </c>
      <c r="B3" s="0" t="s">
        <v>30</v>
      </c>
      <c r="C3" s="0" t="s">
        <v>31</v>
      </c>
      <c r="E3" s="0" t="n">
        <v>510</v>
      </c>
      <c r="F3" s="0" t="n">
        <v>520</v>
      </c>
      <c r="G3" s="0" t="n">
        <v>530</v>
      </c>
      <c r="H3" s="0" t="n">
        <v>540</v>
      </c>
      <c r="I3" s="5" t="n">
        <v>550</v>
      </c>
      <c r="J3" s="0" t="n">
        <v>560</v>
      </c>
      <c r="K3" s="6" t="n">
        <v>570</v>
      </c>
      <c r="L3" s="0" t="n">
        <v>580</v>
      </c>
      <c r="M3" s="0" t="n">
        <v>590</v>
      </c>
      <c r="N3" s="0" t="n">
        <v>600</v>
      </c>
      <c r="O3" s="0" t="n">
        <v>610</v>
      </c>
      <c r="P3" s="0" t="n">
        <v>620</v>
      </c>
    </row>
    <row r="4" customFormat="false" ht="12" hidden="false" customHeight="false" outlineLevel="0" collapsed="false">
      <c r="A4" s="0" t="n">
        <v>1970</v>
      </c>
      <c r="B4" s="0" t="n">
        <v>4</v>
      </c>
      <c r="C4" s="7" t="n">
        <f aca="false">570/(1+EXP(-0.1939*(A4-1993)))</f>
        <v>6.51714828898586</v>
      </c>
      <c r="D4" s="8"/>
      <c r="E4" s="0" t="n">
        <f aca="false">LN(Passengers/(K-Passengers))</f>
        <v>-4.84024230816758</v>
      </c>
      <c r="F4" s="0" t="n">
        <f aca="false">LN(Passengers/(K-Passengers))</f>
        <v>-4.85981240436167</v>
      </c>
      <c r="G4" s="0" t="n">
        <f aca="false">LN(Passengers/(K-Passengers))</f>
        <v>-4.87900685161782</v>
      </c>
      <c r="H4" s="0" t="n">
        <f aca="false">LN(Passengers/(K-Passengers))</f>
        <v>-4.89783979995091</v>
      </c>
      <c r="I4" s="5" t="n">
        <f aca="false">LN(Passengers/(K-Passengers))</f>
        <v>-4.91632461462501</v>
      </c>
      <c r="J4" s="0" t="n">
        <f aca="false">LN(Passengers/(K-Passengers))</f>
        <v>-4.93447393313069</v>
      </c>
      <c r="K4" s="9" t="n">
        <f aca="false">LN(Passengers/(K-Passengers))</f>
        <v>-4.95229971708329</v>
      </c>
      <c r="L4" s="0" t="n">
        <f aca="false">LN(Passengers/(K-Passengers))</f>
        <v>-4.969813299576</v>
      </c>
      <c r="M4" s="0" t="n">
        <f aca="false">LN(Passengers/(K-Passengers))</f>
        <v>-4.98702542845712</v>
      </c>
      <c r="N4" s="0" t="n">
        <f aca="false">LN(Passengers/(K-Passengers))</f>
        <v>-5.00394630594546</v>
      </c>
      <c r="O4" s="0" t="n">
        <f aca="false">LN(Passengers/(K-Passengers))</f>
        <v>-5.02058562494942</v>
      </c>
      <c r="P4" s="0" t="n">
        <f aca="false">LN(Passengers/(K-Passengers))</f>
        <v>-5.03695260241363</v>
      </c>
    </row>
    <row r="5" customFormat="false" ht="12" hidden="false" customHeight="false" outlineLevel="0" collapsed="false">
      <c r="A5" s="0" t="n">
        <v>1971</v>
      </c>
      <c r="B5" s="8" t="n">
        <v>8</v>
      </c>
      <c r="C5" s="7" t="n">
        <f aca="false">570/(1+EXP(-0.1939*(A5-1993)))</f>
        <v>7.89234567034793</v>
      </c>
      <c r="D5" s="8"/>
      <c r="E5" s="0" t="n">
        <f aca="false">LN(Passengers/(K-Passengers))</f>
        <v>-4.13915857801189</v>
      </c>
      <c r="F5" s="0" t="n">
        <f aca="false">LN(Passengers/(K-Passengers))</f>
        <v>-4.15888308335967</v>
      </c>
      <c r="G5" s="0" t="n">
        <f aca="false">LN(Passengers/(K-Passengers))</f>
        <v>-4.1782260462028</v>
      </c>
      <c r="H5" s="0" t="n">
        <f aca="false">LN(Passengers/(K-Passengers))</f>
        <v>-4.19720194766181</v>
      </c>
      <c r="I5" s="5" t="n">
        <f aca="false">LN(Passengers/(K-Passengers))</f>
        <v>-4.21582445975981</v>
      </c>
      <c r="J5" s="0" t="n">
        <f aca="false">LN(Passengers/(K-Passengers))</f>
        <v>-4.23410650459726</v>
      </c>
      <c r="K5" s="9" t="n">
        <f aca="false">LN(Passengers/(K-Passengers))</f>
        <v>-4.25206030821386</v>
      </c>
      <c r="L5" s="0" t="n">
        <f aca="false">LN(Passengers/(K-Passengers))</f>
        <v>-4.26969744969996</v>
      </c>
      <c r="M5" s="0" t="n">
        <f aca="false">LN(Passengers/(K-Passengers))</f>
        <v>-4.2870289060516</v>
      </c>
      <c r="N5" s="0" t="n">
        <f aca="false">LN(Passengers/(K-Passengers))</f>
        <v>-4.30406509320417</v>
      </c>
      <c r="O5" s="0" t="n">
        <f aca="false">LN(Passengers/(K-Passengers))</f>
        <v>-4.32081590362899</v>
      </c>
      <c r="P5" s="0" t="n">
        <f aca="false">LN(Passengers/(K-Passengers))</f>
        <v>-4.33729074083249</v>
      </c>
    </row>
    <row r="6" customFormat="false" ht="12" hidden="false" customHeight="false" outlineLevel="0" collapsed="false">
      <c r="A6" s="0" t="n">
        <v>1973</v>
      </c>
      <c r="B6" s="8" t="n">
        <v>47</v>
      </c>
      <c r="C6" s="7" t="n">
        <f aca="false">570/(1+EXP(-0.1939*(A6-1993)))</f>
        <v>11.5554289724528</v>
      </c>
      <c r="D6" s="8"/>
      <c r="E6" s="0" t="n">
        <f aca="false">LN(Passengers/(K-Passengers))</f>
        <v>-2.28757945237618</v>
      </c>
      <c r="F6" s="0" t="n">
        <f aca="false">LN(Passengers/(K-Passengers))</f>
        <v>-2.30894778678187</v>
      </c>
      <c r="G6" s="0" t="n">
        <f aca="false">LN(Passengers/(K-Passengers))</f>
        <v>-2.32986905194251</v>
      </c>
      <c r="H6" s="0" t="n">
        <f aca="false">LN(Passengers/(K-Passengers))</f>
        <v>-2.35036157233263</v>
      </c>
      <c r="I6" s="5" t="n">
        <f aca="false">LN(Passengers/(K-Passengers))</f>
        <v>-2.37044256838968</v>
      </c>
      <c r="J6" s="0" t="n">
        <f aca="false">LN(Passengers/(K-Passengers))</f>
        <v>-2.39012824346071</v>
      </c>
      <c r="K6" s="9" t="n">
        <f aca="false">LN(Passengers/(K-Passengers))</f>
        <v>-2.40943386235486</v>
      </c>
      <c r="L6" s="0" t="n">
        <f aca="false">LN(Passengers/(K-Passengers))</f>
        <v>-2.42837382245579</v>
      </c>
      <c r="M6" s="0" t="n">
        <f aca="false">LN(Passengers/(K-Passengers))</f>
        <v>-2.44696171822388</v>
      </c>
      <c r="N6" s="0" t="n">
        <f aca="false">LN(Passengers/(K-Passengers))</f>
        <v>-2.46521039981228</v>
      </c>
      <c r="O6" s="0" t="n">
        <f aca="false">LN(Passengers/(K-Passengers))</f>
        <v>-2.48313202642963</v>
      </c>
      <c r="P6" s="0" t="n">
        <f aca="false">LN(Passengers/(K-Passengers))</f>
        <v>-2.50073811500468</v>
      </c>
    </row>
    <row r="7" customFormat="false" ht="12" hidden="false" customHeight="false" outlineLevel="0" collapsed="false">
      <c r="A7" s="0" t="n">
        <v>1979</v>
      </c>
      <c r="B7" s="0" t="n">
        <v>60</v>
      </c>
      <c r="C7" s="7" t="n">
        <f aca="false">570/(1+EXP(-0.1939*(A7-1993)))</f>
        <v>35.4068727822933</v>
      </c>
      <c r="D7" s="8"/>
      <c r="E7" s="0" t="n">
        <f aca="false">LN(Passengers/(K-Passengers))</f>
        <v>-2.01490302054226</v>
      </c>
      <c r="F7" s="0" t="n">
        <f aca="false">LN(Passengers/(K-Passengers))</f>
        <v>-2.03688192726104</v>
      </c>
      <c r="G7" s="0" t="n">
        <f aca="false">LN(Passengers/(K-Passengers))</f>
        <v>-2.058388132482</v>
      </c>
      <c r="H7" s="0" t="n">
        <f aca="false">LN(Passengers/(K-Passengers))</f>
        <v>-2.07944154167984</v>
      </c>
      <c r="I7" s="5" t="n">
        <f aca="false">LN(Passengers/(K-Passengers))</f>
        <v>-2.10006082888257</v>
      </c>
      <c r="J7" s="0" t="n">
        <f aca="false">LN(Passengers/(K-Passengers))</f>
        <v>-2.12026353620009</v>
      </c>
      <c r="K7" s="9" t="n">
        <f aca="false">LN(Passengers/(K-Passengers))</f>
        <v>-2.14006616349627</v>
      </c>
      <c r="L7" s="0" t="n">
        <f aca="false">LN(Passengers/(K-Passengers))</f>
        <v>-2.15948424935337</v>
      </c>
      <c r="M7" s="0" t="n">
        <f aca="false">LN(Passengers/(K-Passengers))</f>
        <v>-2.17853244432407</v>
      </c>
      <c r="N7" s="0" t="n">
        <f aca="false">LN(Passengers/(K-Passengers))</f>
        <v>-2.19722457733622</v>
      </c>
      <c r="O7" s="0" t="n">
        <f aca="false">LN(Passengers/(K-Passengers))</f>
        <v>-2.21557371600442</v>
      </c>
      <c r="P7" s="0" t="n">
        <f aca="false">LN(Passengers/(K-Passengers))</f>
        <v>-2.23359222150709</v>
      </c>
    </row>
    <row r="8" customFormat="false" ht="12" hidden="false" customHeight="false" outlineLevel="0" collapsed="false">
      <c r="A8" s="0" t="n">
        <v>1984</v>
      </c>
      <c r="B8" s="0" t="n">
        <v>63</v>
      </c>
      <c r="C8" s="7" t="n">
        <f aca="false">570/(1+EXP(-0.1939*(A8-1993)))</f>
        <v>84.7397896754779</v>
      </c>
      <c r="D8" s="8"/>
      <c r="E8" s="0" t="n">
        <f aca="false">LN(Passengers/(K-Passengers))</f>
        <v>-1.95942386822204</v>
      </c>
      <c r="F8" s="0" t="n">
        <f aca="false">LN(Passengers/(K-Passengers))</f>
        <v>-1.98154866450267</v>
      </c>
      <c r="G8" s="0" t="n">
        <f aca="false">LN(Passengers/(K-Passengers))</f>
        <v>-2.00319453127736</v>
      </c>
      <c r="H8" s="0" t="n">
        <f aca="false">LN(Passengers/(K-Passengers))</f>
        <v>-2.02438176449681</v>
      </c>
      <c r="I8" s="5" t="n">
        <f aca="false">LN(Passengers/(K-Passengers))</f>
        <v>-2.04512939669106</v>
      </c>
      <c r="J8" s="0" t="n">
        <f aca="false">LN(Passengers/(K-Passengers))</f>
        <v>-2.0654552997051</v>
      </c>
      <c r="K8" s="9" t="n">
        <f aca="false">LN(Passengers/(K-Passengers))</f>
        <v>-2.08537627719965</v>
      </c>
      <c r="L8" s="0" t="n">
        <f aca="false">LN(Passengers/(K-Passengers))</f>
        <v>-2.1049081481169</v>
      </c>
      <c r="M8" s="0" t="n">
        <f aca="false">LN(Passengers/(K-Passengers))</f>
        <v>-2.12406582214983</v>
      </c>
      <c r="N8" s="0" t="n">
        <f aca="false">LN(Passengers/(K-Passengers))</f>
        <v>-2.14286336811733</v>
      </c>
      <c r="O8" s="0" t="n">
        <f aca="false">LN(Passengers/(K-Passengers))</f>
        <v>-2.16131407603045</v>
      </c>
      <c r="P8" s="0" t="n">
        <f aca="false">LN(Passengers/(K-Passengers))</f>
        <v>-2.17943051353575</v>
      </c>
    </row>
    <row r="9" customFormat="false" ht="12" hidden="false" customHeight="false" outlineLevel="0" collapsed="false">
      <c r="A9" s="0" t="n">
        <v>1985</v>
      </c>
      <c r="B9" s="0" t="n">
        <v>68</v>
      </c>
      <c r="C9" s="7" t="n">
        <f aca="false">570/(1+EXP(-0.1939*(A9-1993)))</f>
        <v>99.7004205188052</v>
      </c>
      <c r="D9" s="8"/>
      <c r="E9" s="0" t="n">
        <f aca="false">LN(Passengers/(K-Passengers))</f>
        <v>-1.87180217690159</v>
      </c>
      <c r="F9" s="0" t="n">
        <f aca="false">LN(Passengers/(K-Passengers))</f>
        <v>-1.89417447465612</v>
      </c>
      <c r="G9" s="0" t="n">
        <f aca="false">LN(Passengers/(K-Passengers))</f>
        <v>-1.91605718590563</v>
      </c>
      <c r="H9" s="0" t="n">
        <f aca="false">LN(Passengers/(K-Passengers))</f>
        <v>-1.93747128040945</v>
      </c>
      <c r="I9" s="5" t="n">
        <f aca="false">LN(Passengers/(K-Passengers))</f>
        <v>-1.95843640887449</v>
      </c>
      <c r="J9" s="0" t="n">
        <f aca="false">LN(Passengers/(K-Passengers))</f>
        <v>-1.9789710113162</v>
      </c>
      <c r="K9" s="9" t="n">
        <f aca="false">LN(Passengers/(K-Passengers))</f>
        <v>-1.99909241451562</v>
      </c>
      <c r="L9" s="0" t="n">
        <f aca="false">LN(Passengers/(K-Passengers))</f>
        <v>-2.0188169198634</v>
      </c>
      <c r="M9" s="0" t="n">
        <f aca="false">LN(Passengers/(K-Passengers))</f>
        <v>-2.03815988270653</v>
      </c>
      <c r="N9" s="0" t="n">
        <f aca="false">LN(Passengers/(K-Passengers))</f>
        <v>-2.05713578416554</v>
      </c>
      <c r="O9" s="0" t="n">
        <f aca="false">LN(Passengers/(K-Passengers))</f>
        <v>-2.07575829626354</v>
      </c>
      <c r="P9" s="0" t="n">
        <f aca="false">LN(Passengers/(K-Passengers))</f>
        <v>-2.09404034110099</v>
      </c>
    </row>
    <row r="10" customFormat="false" ht="12" hidden="false" customHeight="false" outlineLevel="0" collapsed="false">
      <c r="A10" s="0" t="n">
        <v>1988</v>
      </c>
      <c r="B10" s="0" t="n">
        <v>70</v>
      </c>
      <c r="C10" s="7" t="n">
        <f aca="false">570/(1+EXP(-0.1939*(A10-1993)))</f>
        <v>156.738699198806</v>
      </c>
      <c r="D10" s="8"/>
      <c r="E10" s="0" t="n">
        <f aca="false">LN(Passengers/(K-Passengers))</f>
        <v>-1.83827948486295</v>
      </c>
      <c r="F10" s="0" t="n">
        <f aca="false">LN(Passengers/(K-Passengers))</f>
        <v>-1.86075234071501</v>
      </c>
      <c r="G10" s="0" t="n">
        <f aca="false">LN(Passengers/(K-Passengers))</f>
        <v>-1.88273124743378</v>
      </c>
      <c r="H10" s="0" t="n">
        <f aca="false">LN(Passengers/(K-Passengers))</f>
        <v>-1.90423745265475</v>
      </c>
      <c r="I10" s="5" t="n">
        <f aca="false">LN(Passengers/(K-Passengers))</f>
        <v>-1.92529086185258</v>
      </c>
      <c r="J10" s="0" t="n">
        <f aca="false">LN(Passengers/(K-Passengers))</f>
        <v>-1.94591014905531</v>
      </c>
      <c r="K10" s="9" t="n">
        <f aca="false">LN(Passengers/(K-Passengers))</f>
        <v>-1.96611285637283</v>
      </c>
      <c r="L10" s="0" t="n">
        <f aca="false">LN(Passengers/(K-Passengers))</f>
        <v>-1.98591548366901</v>
      </c>
      <c r="M10" s="0" t="n">
        <f aca="false">LN(Passengers/(K-Passengers))</f>
        <v>-2.00533356952611</v>
      </c>
      <c r="N10" s="0" t="n">
        <f aca="false">LN(Passengers/(K-Passengers))</f>
        <v>-2.02438176449681</v>
      </c>
      <c r="O10" s="0" t="n">
        <f aca="false">LN(Passengers/(K-Passengers))</f>
        <v>-2.04307389750896</v>
      </c>
      <c r="P10" s="0" t="n">
        <f aca="false">LN(Passengers/(K-Passengers))</f>
        <v>-2.06142303617716</v>
      </c>
    </row>
    <row r="11" customFormat="false" ht="12" hidden="false" customHeight="false" outlineLevel="0" collapsed="false">
      <c r="A11" s="0" t="n">
        <v>1989</v>
      </c>
      <c r="B11" s="0" t="n">
        <v>134</v>
      </c>
      <c r="C11" s="7" t="n">
        <f aca="false">570/(1+EXP(-0.1939*(A11-1993)))</f>
        <v>179.7033075743</v>
      </c>
      <c r="D11" s="8"/>
      <c r="E11" s="0" t="n">
        <f aca="false">LN(Passengers/(K-Passengers))</f>
        <v>-1.03174934343898</v>
      </c>
      <c r="F11" s="0" t="n">
        <f aca="false">LN(Passengers/(K-Passengers))</f>
        <v>-1.05799756951392</v>
      </c>
      <c r="G11" s="0" t="n">
        <f aca="false">LN(Passengers/(K-Passengers))</f>
        <v>-1.08357441130357</v>
      </c>
      <c r="H11" s="0" t="n">
        <f aca="false">LN(Passengers/(K-Passengers))</f>
        <v>-1.10851335965082</v>
      </c>
      <c r="I11" s="5" t="n">
        <f aca="false">LN(Passengers/(K-Passengers))</f>
        <v>-1.13284546031035</v>
      </c>
      <c r="J11" s="0" t="n">
        <f aca="false">LN(Passengers/(K-Passengers))</f>
        <v>-1.15659954631846</v>
      </c>
      <c r="K11" s="9" t="n">
        <f aca="false">LN(Passengers/(K-Passengers))</f>
        <v>-1.17980244339812</v>
      </c>
      <c r="L11" s="0" t="n">
        <f aca="false">LN(Passengers/(K-Passengers))</f>
        <v>-1.20247915206915</v>
      </c>
      <c r="M11" s="0" t="n">
        <f aca="false">LN(Passengers/(K-Passengers))</f>
        <v>-1.22465300956347</v>
      </c>
      <c r="N11" s="0" t="n">
        <f aca="false">LN(Passengers/(K-Passengers))</f>
        <v>-1.24634583417473</v>
      </c>
      <c r="O11" s="0" t="n">
        <f aca="false">LN(Passengers/(K-Passengers))</f>
        <v>-1.26757805428051</v>
      </c>
      <c r="P11" s="0" t="n">
        <f aca="false">LN(Passengers/(K-Passengers))</f>
        <v>-1.28836882394958</v>
      </c>
    </row>
    <row r="12" customFormat="false" ht="12" hidden="false" customHeight="false" outlineLevel="0" collapsed="false">
      <c r="A12" s="0" t="n">
        <v>1990</v>
      </c>
      <c r="B12" s="0" t="n">
        <v>217</v>
      </c>
      <c r="C12" s="7" t="n">
        <f aca="false">570/(1+EXP(-0.1939*(A12-1993)))</f>
        <v>204.368665013442</v>
      </c>
      <c r="D12" s="8"/>
      <c r="E12" s="0" t="n">
        <f aca="false">LN(Passengers/(K-Passengers))</f>
        <v>-0.300275255476608</v>
      </c>
      <c r="F12" s="0" t="n">
        <f aca="false">LN(Passengers/(K-Passengers))</f>
        <v>-0.33383545196891</v>
      </c>
      <c r="G12" s="0" t="n">
        <f aca="false">LN(Passengers/(K-Passengers))</f>
        <v>-0.366305836999694</v>
      </c>
      <c r="H12" s="0" t="n">
        <f aca="false">LN(Passengers/(K-Passengers))</f>
        <v>-0.397754969682197</v>
      </c>
      <c r="I12" s="5" t="n">
        <f aca="false">LN(Passengers/(K-Passengers))</f>
        <v>-0.428245136439984</v>
      </c>
      <c r="J12" s="0" t="n">
        <f aca="false">LN(Passengers/(K-Passengers))</f>
        <v>-0.45783309362548</v>
      </c>
      <c r="K12" s="9" t="n">
        <f aca="false">LN(Passengers/(K-Passengers))</f>
        <v>-0.486570703392837</v>
      </c>
      <c r="L12" s="0" t="n">
        <f aca="false">LN(Passengers/(K-Passengers))</f>
        <v>-0.514505480724391</v>
      </c>
      <c r="M12" s="0" t="n">
        <f aca="false">LN(Passengers/(K-Passengers))</f>
        <v>-0.541681066103356</v>
      </c>
      <c r="N12" s="0" t="n">
        <f aca="false">LN(Passengers/(K-Passengers))</f>
        <v>-0.568137635640186</v>
      </c>
      <c r="O12" s="0" t="n">
        <f aca="false">LN(Passengers/(K-Passengers))</f>
        <v>-0.593912258328802</v>
      </c>
      <c r="P12" s="0" t="n">
        <f aca="false">LN(Passengers/(K-Passengers))</f>
        <v>-0.619039208406224</v>
      </c>
    </row>
    <row r="13" customFormat="false" ht="12" hidden="false" customHeight="false" outlineLevel="0" collapsed="false">
      <c r="A13" s="0" t="n">
        <v>1991</v>
      </c>
      <c r="B13" s="0" t="n">
        <v>271</v>
      </c>
      <c r="C13" s="7" t="n">
        <f aca="false">570/(1+EXP(-0.1939*(A13-1993)))</f>
        <v>230.42080020715</v>
      </c>
      <c r="D13" s="8"/>
      <c r="E13" s="0" t="n">
        <f aca="false">LN(Passengers/(K-Passengers))</f>
        <v>0.12565526894819</v>
      </c>
      <c r="F13" s="0" t="n">
        <f aca="false">LN(Passengers/(K-Passengers))</f>
        <v>0.0846659244149933</v>
      </c>
      <c r="G13" s="0" t="n">
        <f aca="false">LN(Passengers/(K-Passengers))</f>
        <v>0.0452907591801631</v>
      </c>
      <c r="H13" s="0" t="n">
        <f aca="false">LN(Passengers/(K-Passengers))</f>
        <v>0.00740744127786182</v>
      </c>
      <c r="I13" s="5" t="n">
        <f aca="false">LN(Passengers/(K-Passengers))</f>
        <v>-0.0290929609416648</v>
      </c>
      <c r="J13" s="0" t="n">
        <f aca="false">LN(Passengers/(K-Passengers))</f>
        <v>-0.0643078672327312</v>
      </c>
      <c r="K13" s="9" t="n">
        <f aca="false">LN(Passengers/(K-Passengers))</f>
        <v>-0.0983247525109856</v>
      </c>
      <c r="L13" s="0" t="n">
        <f aca="false">LN(Passengers/(K-Passengers))</f>
        <v>-0.131222456018045</v>
      </c>
      <c r="M13" s="0" t="n">
        <f aca="false">LN(Passengers/(K-Passengers))</f>
        <v>-0.163072281905144</v>
      </c>
      <c r="N13" s="0" t="n">
        <f aca="false">LN(Passengers/(K-Passengers))</f>
        <v>-0.193938929885671</v>
      </c>
      <c r="O13" s="0" t="n">
        <f aca="false">LN(Passengers/(K-Passengers))</f>
        <v>-0.223881286500749</v>
      </c>
      <c r="P13" s="0" t="n">
        <f aca="false">LN(Passengers/(K-Passengers))</f>
        <v>-0.252953101322726</v>
      </c>
    </row>
    <row r="14" customFormat="false" ht="12" hidden="false" customHeight="false" outlineLevel="0" collapsed="false">
      <c r="A14" s="0" t="n">
        <v>1992</v>
      </c>
      <c r="B14" s="0" t="n">
        <v>323</v>
      </c>
      <c r="C14" s="7" t="n">
        <f aca="false">570/(1+EXP(-0.1939*(A14-1993)))</f>
        <v>257.455495680661</v>
      </c>
      <c r="D14" s="8"/>
      <c r="E14" s="0" t="n">
        <f aca="false">LN(Passengers/(K-Passengers))</f>
        <v>0.54654370636807</v>
      </c>
      <c r="F14" s="0" t="n">
        <f aca="false">LN(Passengers/(K-Passengers))</f>
        <v>0.494448594484668</v>
      </c>
      <c r="G14" s="0" t="n">
        <f aca="false">LN(Passengers/(K-Passengers))</f>
        <v>0.444933529957288</v>
      </c>
      <c r="H14" s="0" t="n">
        <f aca="false">LN(Passengers/(K-Passengers))</f>
        <v>0.397754969682197</v>
      </c>
      <c r="I14" s="5" t="n">
        <f aca="false">LN(Passengers/(K-Passengers))</f>
        <v>0.352702305741254</v>
      </c>
      <c r="J14" s="0" t="n">
        <f aca="false">LN(Passengers/(K-Passengers))</f>
        <v>0.309592182087525</v>
      </c>
      <c r="K14" s="9" t="n">
        <f aca="false">LN(Passengers/(K-Passengers))</f>
        <v>0.268263986594679</v>
      </c>
      <c r="L14" s="0" t="n">
        <f aca="false">LN(Passengers/(K-Passengers))</f>
        <v>0.228576238327437</v>
      </c>
      <c r="M14" s="0" t="n">
        <f aca="false">LN(Passengers/(K-Passengers))</f>
        <v>0.190403664822407</v>
      </c>
      <c r="N14" s="0" t="n">
        <f aca="false">LN(Passengers/(K-Passengers))</f>
        <v>0.153634817035318</v>
      </c>
      <c r="O14" s="0" t="n">
        <f aca="false">LN(Passengers/(K-Passengers))</f>
        <v>0.118170107463036</v>
      </c>
      <c r="P14" s="0" t="n">
        <f aca="false">LN(Passengers/(K-Passengers))</f>
        <v>0.083920184419957</v>
      </c>
    </row>
    <row r="15" customFormat="false" ht="12" hidden="false" customHeight="false" outlineLevel="0" collapsed="false">
      <c r="A15" s="0" t="n">
        <v>1993</v>
      </c>
      <c r="B15" s="0" t="n">
        <v>362</v>
      </c>
      <c r="C15" s="7" t="n">
        <f aca="false">570/(1+EXP(-0.1939*(A15-1993)))</f>
        <v>285</v>
      </c>
      <c r="D15" s="8"/>
      <c r="E15" s="0" t="n">
        <f aca="false">LN(Passengers/(K-Passengers))</f>
        <v>0.894431938061656</v>
      </c>
      <c r="F15" s="0" t="n">
        <f aca="false">LN(Passengers/(K-Passengers))</f>
        <v>0.829049178798804</v>
      </c>
      <c r="G15" s="0" t="n">
        <f aca="false">LN(Passengers/(K-Passengers))</f>
        <v>0.767680232422512</v>
      </c>
      <c r="H15" s="0" t="n">
        <f aca="false">LN(Passengers/(K-Passengers))</f>
        <v>0.709860661533686</v>
      </c>
      <c r="I15" s="5" t="n">
        <f aca="false">LN(Passengers/(K-Passengers))</f>
        <v>0.655202248995822</v>
      </c>
      <c r="J15" s="0" t="n">
        <f aca="false">LN(Passengers/(K-Passengers))</f>
        <v>0.603377181131236</v>
      </c>
      <c r="K15" s="9" t="n">
        <f aca="false">LN(Passengers/(K-Passengers))</f>
        <v>0.554106132124453</v>
      </c>
      <c r="L15" s="0" t="n">
        <f aca="false">LN(Passengers/(K-Passengers))</f>
        <v>0.507149149036682</v>
      </c>
      <c r="M15" s="0" t="n">
        <f aca="false">LN(Passengers/(K-Passengers))</f>
        <v>0.46229858287133</v>
      </c>
      <c r="N15" s="0" t="n">
        <f aca="false">LN(Passengers/(K-Passengers))</f>
        <v>0.419373538154296</v>
      </c>
      <c r="O15" s="0" t="n">
        <f aca="false">LN(Passengers/(K-Passengers))</f>
        <v>0.378215465660789</v>
      </c>
      <c r="P15" s="0" t="n">
        <f aca="false">LN(Passengers/(K-Passengers))</f>
        <v>0.338684626904154</v>
      </c>
    </row>
    <row r="16" customFormat="false" ht="12" hidden="false" customHeight="false" outlineLevel="0" collapsed="false">
      <c r="A16" s="0" t="n">
        <v>1994</v>
      </c>
      <c r="B16" s="0" t="n">
        <v>387</v>
      </c>
      <c r="C16" s="7" t="n">
        <f aca="false">570/(1+EXP(-0.1939*(A16-1993)))</f>
        <v>312.544504319339</v>
      </c>
      <c r="D16" s="8"/>
      <c r="E16" s="0" t="n">
        <f aca="false">LN(Passengers/(K-Passengers))</f>
        <v>1.14624033765736</v>
      </c>
      <c r="F16" s="0" t="n">
        <f aca="false">LN(Passengers/(K-Passengers))</f>
        <v>1.06807556480803</v>
      </c>
      <c r="G16" s="0" t="n">
        <f aca="false">LN(Passengers/(K-Passengers))</f>
        <v>0.995580062769875</v>
      </c>
      <c r="H16" s="0" t="n">
        <f aca="false">LN(Passengers/(K-Passengers))</f>
        <v>0.927986771637346</v>
      </c>
      <c r="I16" s="5" t="n">
        <f aca="false">LN(Passengers/(K-Passengers))</f>
        <v>0.86467449222302</v>
      </c>
      <c r="J16" s="0" t="n">
        <f aca="false">LN(Passengers/(K-Passengers))</f>
        <v>0.805133098532003</v>
      </c>
      <c r="K16" s="9" t="n">
        <f aca="false">LN(Passengers/(K-Passengers))</f>
        <v>0.748938540188361</v>
      </c>
      <c r="L16" s="0" t="n">
        <f aca="false">LN(Passengers/(K-Passengers))</f>
        <v>0.695734504124896</v>
      </c>
      <c r="M16" s="0" t="n">
        <f aca="false">LN(Passengers/(K-Passengers))</f>
        <v>0.645218713987995</v>
      </c>
      <c r="N16" s="0" t="n">
        <f aca="false">LN(Passengers/(K-Passengers))</f>
        <v>0.597132527320357</v>
      </c>
      <c r="O16" s="0" t="n">
        <f aca="false">LN(Passengers/(K-Passengers))</f>
        <v>0.551252921569663</v>
      </c>
      <c r="P16" s="0" t="n">
        <f aca="false">LN(Passengers/(K-Passengers))</f>
        <v>0.507386239464081</v>
      </c>
    </row>
    <row r="17" customFormat="false" ht="12" hidden="false" customHeight="false" outlineLevel="0" collapsed="false">
      <c r="A17" s="0" t="n">
        <v>1999</v>
      </c>
      <c r="B17" s="0" t="n">
        <v>429</v>
      </c>
      <c r="C17" s="7" t="n">
        <f aca="false">570/(1+EXP(-0.1939*(A17-1993)))</f>
        <v>434.311479209183</v>
      </c>
      <c r="D17" s="8"/>
      <c r="E17" s="0" t="n">
        <f aca="false">LN(Passengers/(K-Passengers))</f>
        <v>1.66700776425558</v>
      </c>
      <c r="F17" s="0" t="n">
        <f aca="false">LN(Passengers/(K-Passengers))</f>
        <v>1.55059741241117</v>
      </c>
      <c r="G17" s="0" t="n">
        <f aca="false">LN(Passengers/(K-Passengers))</f>
        <v>1.44633640208676</v>
      </c>
      <c r="H17" s="0" t="n">
        <f aca="false">LN(Passengers/(K-Passengers))</f>
        <v>1.35192671761568</v>
      </c>
      <c r="I17" s="5" t="n">
        <f aca="false">LN(Passengers/(K-Passengers))</f>
        <v>1.26566637333128</v>
      </c>
      <c r="J17" s="0" t="n">
        <f aca="false">LN(Passengers/(K-Passengers))</f>
        <v>1.18625959572687</v>
      </c>
      <c r="K17" s="9" t="n">
        <f aca="false">LN(Passengers/(K-Passengers))</f>
        <v>1.11269702854985</v>
      </c>
      <c r="L17" s="0" t="n">
        <f aca="false">LN(Passengers/(K-Passengers))</f>
        <v>1.04417708211309</v>
      </c>
      <c r="M17" s="0" t="n">
        <f aca="false">LN(Passengers/(K-Passengers))</f>
        <v>0.980052553943554</v>
      </c>
      <c r="N17" s="0" t="n">
        <f aca="false">LN(Passengers/(K-Passengers))</f>
        <v>0.919793362425357</v>
      </c>
      <c r="O17" s="0" t="n">
        <f aca="false">LN(Passengers/(K-Passengers))</f>
        <v>0.862959887662191</v>
      </c>
      <c r="P17" s="0" t="n">
        <f aca="false">LN(Passengers/(K-Passengers))</f>
        <v>0.809183490881387</v>
      </c>
    </row>
    <row r="18" customFormat="false" ht="12.75" hidden="false" customHeight="false" outlineLevel="0" collapsed="false">
      <c r="A18" s="0" t="n">
        <v>2001</v>
      </c>
      <c r="B18" s="0" t="n">
        <v>500</v>
      </c>
      <c r="C18" s="7" t="n">
        <f aca="false">570/(1+EXP(-0.1939*(A18-1993)))</f>
        <v>470.299579481195</v>
      </c>
      <c r="D18" s="8"/>
      <c r="E18" s="0" t="n">
        <f aca="false">LN(Passengers/(K-Passengers))</f>
        <v>3.91202300542815</v>
      </c>
      <c r="F18" s="0" t="n">
        <f aca="false">LN(Passengers/(K-Passengers))</f>
        <v>3.2188758248682</v>
      </c>
      <c r="G18" s="0" t="n">
        <f aca="false">LN(Passengers/(K-Passengers))</f>
        <v>2.81341071676004</v>
      </c>
      <c r="H18" s="0" t="n">
        <f aca="false">LN(Passengers/(K-Passengers))</f>
        <v>2.52572864430826</v>
      </c>
      <c r="I18" s="5" t="n">
        <f aca="false">LN(Passengers/(K-Passengers))</f>
        <v>2.30258509299405</v>
      </c>
      <c r="J18" s="0" t="n">
        <f aca="false">LN(Passengers/(K-Passengers))</f>
        <v>2.12026353620009</v>
      </c>
      <c r="K18" s="10" t="n">
        <f aca="false">LN(Passengers/(K-Passengers))</f>
        <v>1.96611285637283</v>
      </c>
      <c r="L18" s="0" t="n">
        <f aca="false">LN(Passengers/(K-Passengers))</f>
        <v>1.83258146374831</v>
      </c>
      <c r="M18" s="0" t="n">
        <f aca="false">LN(Passengers/(K-Passengers))</f>
        <v>1.71479842809193</v>
      </c>
      <c r="N18" s="0" t="n">
        <f aca="false">LN(Passengers/(K-Passengers))</f>
        <v>1.6094379124341</v>
      </c>
      <c r="O18" s="0" t="n">
        <f aca="false">LN(Passengers/(K-Passengers))</f>
        <v>1.51412773262978</v>
      </c>
      <c r="P18" s="0" t="n">
        <f aca="false">LN(Passengers/(K-Passengers))</f>
        <v>1.42711635564015</v>
      </c>
    </row>
    <row r="22" customFormat="false" ht="12" hidden="false" customHeight="false" outlineLevel="0" collapsed="false">
      <c r="A22" s="0" t="s">
        <v>32</v>
      </c>
    </row>
    <row r="23" customFormat="false" ht="12" hidden="false" customHeight="false" outlineLevel="0" collapsed="false">
      <c r="A23" s="0" t="s">
        <v>33</v>
      </c>
    </row>
    <row r="24" customFormat="false" ht="12" hidden="false" customHeight="false" outlineLevel="0" collapsed="false">
      <c r="A24" s="0" t="s">
        <v>13</v>
      </c>
    </row>
    <row r="25" customFormat="false" ht="12" hidden="false" customHeight="false" outlineLevel="0" collapsed="false">
      <c r="A25" s="0" t="s">
        <v>34</v>
      </c>
      <c r="B25" s="0" t="s">
        <v>35</v>
      </c>
      <c r="E25" s="0" t="s">
        <v>36</v>
      </c>
    </row>
    <row r="26" customFormat="false" ht="12" hidden="false" customHeight="false" outlineLevel="0" collapsed="false">
      <c r="A26" s="0" t="s">
        <v>37</v>
      </c>
    </row>
    <row r="28" customFormat="false" ht="12" hidden="false" customHeight="false" outlineLevel="0" collapsed="false">
      <c r="A28" s="0" t="s">
        <v>38</v>
      </c>
    </row>
    <row r="32" customFormat="false" ht="12" hidden="false" customHeight="false" outlineLevel="0" collapsed="false">
      <c r="B32" s="0" t="s">
        <v>26</v>
      </c>
      <c r="C32" s="0" t="s">
        <v>26</v>
      </c>
    </row>
    <row r="33" customFormat="false" ht="12" hidden="false" customHeight="false" outlineLevel="0" collapsed="false">
      <c r="A33" s="0" t="s">
        <v>29</v>
      </c>
      <c r="B33" s="0" t="s">
        <v>30</v>
      </c>
      <c r="C33" s="0" t="s">
        <v>31</v>
      </c>
    </row>
    <row r="34" customFormat="false" ht="12" hidden="false" customHeight="false" outlineLevel="0" collapsed="false">
      <c r="A34" s="0" t="n">
        <v>1970</v>
      </c>
      <c r="B34" s="0" t="n">
        <v>4</v>
      </c>
      <c r="C34" s="7" t="n">
        <f aca="false">570/(1+EXP(-0.1939*(A34-1993)))</f>
        <v>6.51714828898586</v>
      </c>
    </row>
    <row r="35" customFormat="false" ht="12" hidden="false" customHeight="false" outlineLevel="0" collapsed="false">
      <c r="A35" s="0" t="n">
        <f aca="false">+A34+1</f>
        <v>1971</v>
      </c>
      <c r="B35" s="8" t="n">
        <v>8</v>
      </c>
      <c r="C35" s="7" t="n">
        <f aca="false">570/(1+EXP(-0.1939*(A35-1993)))</f>
        <v>7.89234567034793</v>
      </c>
      <c r="G35" s="8"/>
    </row>
    <row r="36" customFormat="false" ht="12" hidden="false" customHeight="false" outlineLevel="0" collapsed="false">
      <c r="A36" s="0" t="n">
        <f aca="false">+A35+1</f>
        <v>1972</v>
      </c>
      <c r="C36" s="7" t="n">
        <f aca="false">570/(1+EXP(-0.1939*(A36-1993)))</f>
        <v>9.55280686824858</v>
      </c>
      <c r="G36" s="8"/>
    </row>
    <row r="37" customFormat="false" ht="12" hidden="false" customHeight="false" outlineLevel="0" collapsed="false">
      <c r="A37" s="0" t="n">
        <f aca="false">+A36+1</f>
        <v>1973</v>
      </c>
      <c r="B37" s="8" t="n">
        <v>47</v>
      </c>
      <c r="C37" s="7" t="n">
        <f aca="false">570/(1+EXP(-0.1939*(A37-1993)))</f>
        <v>11.5554289724528</v>
      </c>
    </row>
    <row r="38" customFormat="false" ht="12" hidden="false" customHeight="false" outlineLevel="0" collapsed="false">
      <c r="A38" s="0" t="n">
        <f aca="false">+A37+1</f>
        <v>1974</v>
      </c>
      <c r="C38" s="7" t="n">
        <f aca="false">570/(1+EXP(-0.1939*(A38-1993)))</f>
        <v>13.9674120279662</v>
      </c>
    </row>
    <row r="39" customFormat="false" ht="12" hidden="false" customHeight="false" outlineLevel="0" collapsed="false">
      <c r="A39" s="0" t="n">
        <f aca="false">+A38+1</f>
        <v>1975</v>
      </c>
      <c r="C39" s="7" t="n">
        <f aca="false">570/(1+EXP(-0.1939*(A39-1993)))</f>
        <v>16.8676453757095</v>
      </c>
    </row>
    <row r="40" customFormat="false" ht="12" hidden="false" customHeight="false" outlineLevel="0" collapsed="false">
      <c r="A40" s="0" t="n">
        <f aca="false">+A39+1</f>
        <v>1976</v>
      </c>
      <c r="C40" s="7" t="n">
        <f aca="false">570/(1+EXP(-0.1939*(A40-1993)))</f>
        <v>20.3480534441764</v>
      </c>
    </row>
    <row r="41" customFormat="false" ht="12" hidden="false" customHeight="false" outlineLevel="0" collapsed="false">
      <c r="A41" s="0" t="n">
        <f aca="false">+A40+1</f>
        <v>1977</v>
      </c>
      <c r="C41" s="7" t="n">
        <f aca="false">570/(1+EXP(-0.1939*(A41-1993)))</f>
        <v>24.514768493404</v>
      </c>
    </row>
    <row r="42" customFormat="false" ht="12" hidden="false" customHeight="false" outlineLevel="0" collapsed="false">
      <c r="A42" s="0" t="n">
        <f aca="false">+A41+1</f>
        <v>1978</v>
      </c>
      <c r="C42" s="7" t="n">
        <f aca="false">570/(1+EXP(-0.1939*(A42-1993)))</f>
        <v>29.4889350116599</v>
      </c>
    </row>
    <row r="43" customFormat="false" ht="12" hidden="false" customHeight="false" outlineLevel="0" collapsed="false">
      <c r="A43" s="0" t="n">
        <f aca="false">+A42+1</f>
        <v>1979</v>
      </c>
      <c r="B43" s="0" t="n">
        <v>60</v>
      </c>
      <c r="C43" s="7" t="n">
        <f aca="false">570/(1+EXP(-0.1939*(A43-1993)))</f>
        <v>35.4068727822933</v>
      </c>
    </row>
    <row r="44" customFormat="false" ht="12" hidden="false" customHeight="false" outlineLevel="0" collapsed="false">
      <c r="A44" s="0" t="n">
        <f aca="false">+A43+1</f>
        <v>1980</v>
      </c>
      <c r="C44" s="7" t="n">
        <f aca="false">570/(1+EXP(-0.1939*(A44-1993)))</f>
        <v>42.4192368691774</v>
      </c>
    </row>
    <row r="45" customFormat="false" ht="12" hidden="false" customHeight="false" outlineLevel="0" collapsed="false">
      <c r="A45" s="0" t="n">
        <f aca="false">+A44+1</f>
        <v>1981</v>
      </c>
      <c r="C45" s="7" t="n">
        <f aca="false">570/(1+EXP(-0.1939*(A45-1993)))</f>
        <v>50.6887233031523</v>
      </c>
    </row>
    <row r="46" customFormat="false" ht="12" hidden="false" customHeight="false" outlineLevel="0" collapsed="false">
      <c r="A46" s="0" t="n">
        <f aca="false">+A45+1</f>
        <v>1982</v>
      </c>
      <c r="C46" s="7" t="n">
        <f aca="false">570/(1+EXP(-0.1939*(A46-1993)))</f>
        <v>60.3857995086528</v>
      </c>
    </row>
    <row r="47" customFormat="false" ht="12" hidden="false" customHeight="false" outlineLevel="0" collapsed="false">
      <c r="A47" s="0" t="n">
        <f aca="false">+A46+1</f>
        <v>1983</v>
      </c>
      <c r="C47" s="7" t="n">
        <f aca="false">570/(1+EXP(-0.1939*(A47-1993)))</f>
        <v>71.6819221288316</v>
      </c>
    </row>
    <row r="48" customFormat="false" ht="12" hidden="false" customHeight="false" outlineLevel="0" collapsed="false">
      <c r="A48" s="0" t="n">
        <f aca="false">+A47+1</f>
        <v>1984</v>
      </c>
      <c r="B48" s="0" t="n">
        <v>63</v>
      </c>
      <c r="C48" s="7" t="n">
        <f aca="false">570/(1+EXP(-0.1939*(A48-1993)))</f>
        <v>84.7397896754779</v>
      </c>
    </row>
    <row r="49" customFormat="false" ht="12" hidden="false" customHeight="false" outlineLevel="0" collapsed="false">
      <c r="A49" s="0" t="n">
        <f aca="false">+A48+1</f>
        <v>1985</v>
      </c>
      <c r="B49" s="0" t="n">
        <v>68</v>
      </c>
      <c r="C49" s="7" t="n">
        <f aca="false">570/(1+EXP(-0.1939*(A49-1993)))</f>
        <v>99.7004205188052</v>
      </c>
    </row>
    <row r="50" customFormat="false" ht="12" hidden="false" customHeight="false" outlineLevel="0" collapsed="false">
      <c r="A50" s="0" t="n">
        <f aca="false">+A49+1</f>
        <v>1986</v>
      </c>
      <c r="C50" s="7" t="n">
        <f aca="false">570/(1+EXP(-0.1939*(A50-1993)))</f>
        <v>116.667299872894</v>
      </c>
    </row>
    <row r="51" customFormat="false" ht="12" hidden="false" customHeight="false" outlineLevel="0" collapsed="false">
      <c r="A51" s="0" t="n">
        <f aca="false">+A50+1</f>
        <v>1987</v>
      </c>
      <c r="C51" s="7" t="n">
        <f aca="false">570/(1+EXP(-0.1939*(A51-1993)))</f>
        <v>135.688520790817</v>
      </c>
    </row>
    <row r="52" customFormat="false" ht="12" hidden="false" customHeight="false" outlineLevel="0" collapsed="false">
      <c r="A52" s="0" t="n">
        <f aca="false">+A51+1</f>
        <v>1988</v>
      </c>
      <c r="B52" s="0" t="n">
        <v>70</v>
      </c>
      <c r="C52" s="7" t="n">
        <f aca="false">570/(1+EXP(-0.1939*(A52-1993)))</f>
        <v>156.738699198806</v>
      </c>
    </row>
    <row r="53" customFormat="false" ht="12" hidden="false" customHeight="false" outlineLevel="0" collapsed="false">
      <c r="A53" s="0" t="n">
        <f aca="false">+A52+1</f>
        <v>1989</v>
      </c>
      <c r="B53" s="0" t="n">
        <v>134</v>
      </c>
      <c r="C53" s="7" t="n">
        <f aca="false">570/(1+EXP(-0.1939*(A53-1993)))</f>
        <v>179.7033075743</v>
      </c>
    </row>
    <row r="54" customFormat="false" ht="12" hidden="false" customHeight="false" outlineLevel="0" collapsed="false">
      <c r="A54" s="0" t="n">
        <f aca="false">+A53+1</f>
        <v>1990</v>
      </c>
      <c r="B54" s="0" t="n">
        <v>217</v>
      </c>
      <c r="C54" s="7" t="n">
        <f aca="false">570/(1+EXP(-0.1939*(A54-1993)))</f>
        <v>204.368665013442</v>
      </c>
    </row>
    <row r="55" customFormat="false" ht="12" hidden="false" customHeight="false" outlineLevel="0" collapsed="false">
      <c r="A55" s="0" t="n">
        <f aca="false">+A54+1</f>
        <v>1991</v>
      </c>
      <c r="B55" s="0" t="n">
        <v>271</v>
      </c>
      <c r="C55" s="7" t="n">
        <f aca="false">570/(1+EXP(-0.1939*(A55-1993)))</f>
        <v>230.42080020715</v>
      </c>
    </row>
    <row r="56" customFormat="false" ht="12" hidden="false" customHeight="false" outlineLevel="0" collapsed="false">
      <c r="A56" s="0" t="n">
        <f aca="false">+A55+1</f>
        <v>1992</v>
      </c>
      <c r="B56" s="0" t="n">
        <v>323</v>
      </c>
      <c r="C56" s="7" t="n">
        <f aca="false">570/(1+EXP(-0.1939*(A56-1993)))</f>
        <v>257.455495680661</v>
      </c>
    </row>
    <row r="57" customFormat="false" ht="12" hidden="false" customHeight="false" outlineLevel="0" collapsed="false">
      <c r="A57" s="0" t="n">
        <f aca="false">+A56+1</f>
        <v>1993</v>
      </c>
      <c r="B57" s="0" t="n">
        <v>362</v>
      </c>
      <c r="C57" s="7" t="n">
        <f aca="false">570/(1+EXP(-0.1939*(A57-1993)))</f>
        <v>285</v>
      </c>
    </row>
    <row r="58" customFormat="false" ht="12" hidden="false" customHeight="false" outlineLevel="0" collapsed="false">
      <c r="A58" s="0" t="n">
        <f aca="false">+A57+1</f>
        <v>1994</v>
      </c>
      <c r="B58" s="0" t="n">
        <v>387</v>
      </c>
      <c r="C58" s="7" t="n">
        <f aca="false">570/(1+EXP(-0.1939*(A58-1993)))</f>
        <v>312.544504319339</v>
      </c>
    </row>
    <row r="59" customFormat="false" ht="12" hidden="false" customHeight="false" outlineLevel="0" collapsed="false">
      <c r="A59" s="0" t="n">
        <f aca="false">+A58+1</f>
        <v>1995</v>
      </c>
      <c r="C59" s="7" t="n">
        <f aca="false">570/(1+EXP(-0.1939*(A59-1993)))</f>
        <v>339.57919979285</v>
      </c>
    </row>
    <row r="60" customFormat="false" ht="12" hidden="false" customHeight="false" outlineLevel="0" collapsed="false">
      <c r="A60" s="0" t="n">
        <f aca="false">+A59+1</f>
        <v>1996</v>
      </c>
      <c r="C60" s="7" t="n">
        <f aca="false">570/(1+EXP(-0.1939*(A60-1993)))</f>
        <v>365.631334986558</v>
      </c>
    </row>
    <row r="61" customFormat="false" ht="12" hidden="false" customHeight="false" outlineLevel="0" collapsed="false">
      <c r="A61" s="0" t="n">
        <f aca="false">+A60+1</f>
        <v>1997</v>
      </c>
      <c r="C61" s="7" t="n">
        <f aca="false">570/(1+EXP(-0.1939*(A61-1993)))</f>
        <v>390.2966924257</v>
      </c>
    </row>
    <row r="62" customFormat="false" ht="12" hidden="false" customHeight="false" outlineLevel="0" collapsed="false">
      <c r="A62" s="0" t="n">
        <f aca="false">+A61+1</f>
        <v>1998</v>
      </c>
      <c r="C62" s="7" t="n">
        <f aca="false">570/(1+EXP(-0.1939*(A62-1993)))</f>
        <v>413.261300801194</v>
      </c>
    </row>
    <row r="63" customFormat="false" ht="12" hidden="false" customHeight="false" outlineLevel="0" collapsed="false">
      <c r="A63" s="0" t="n">
        <f aca="false">+A62+1</f>
        <v>1999</v>
      </c>
      <c r="B63" s="0" t="n">
        <v>429</v>
      </c>
      <c r="C63" s="7" t="n">
        <f aca="false">570/(1+EXP(-0.1939*(A63-1993)))</f>
        <v>434.311479209183</v>
      </c>
    </row>
    <row r="64" customFormat="false" ht="12" hidden="false" customHeight="false" outlineLevel="0" collapsed="false">
      <c r="A64" s="0" t="n">
        <f aca="false">+A63+1</f>
        <v>2000</v>
      </c>
      <c r="C64" s="7" t="n">
        <f aca="false">570/(1+EXP(-0.1939*(A64-1993)))</f>
        <v>453.332700127106</v>
      </c>
    </row>
    <row r="65" customFormat="false" ht="12" hidden="false" customHeight="false" outlineLevel="0" collapsed="false">
      <c r="A65" s="0" t="n">
        <f aca="false">+A64+1</f>
        <v>2001</v>
      </c>
      <c r="B65" s="0" t="n">
        <v>500</v>
      </c>
      <c r="C65" s="7" t="n">
        <f aca="false">570/(1+EXP(-0.1939*(A65-1993)))</f>
        <v>470.299579481195</v>
      </c>
    </row>
    <row r="66" customFormat="false" ht="12" hidden="false" customHeight="false" outlineLevel="0" collapsed="false">
      <c r="C66" s="7"/>
    </row>
    <row r="67" customFormat="false" ht="12" hidden="false" customHeight="false" outlineLevel="0" collapsed="false">
      <c r="C67" s="7"/>
    </row>
  </sheetData>
  <printOptions headings="false" gridLines="false" gridLinesSet="true" horizontalCentered="false" verticalCentered="false"/>
  <pageMargins left="0.5" right="0.5" top="0.984027777777778" bottom="0.984027777777778" header="0.511811023622047" footer="0.511811023622047"/>
  <pageSetup paperSize="1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2000-02-10T13:59:41Z</dcterms:created>
  <dc:creator/>
  <dc:description/>
  <dc:language>en-AU</dc:language>
  <cp:lastModifiedBy>Atif Sheikh</cp:lastModifiedBy>
  <cp:lastPrinted>2000-02-15T04:22:29Z</cp:lastPrinted>
  <dcterms:modified xsi:type="dcterms:W3CDTF">2001-10-13T02:32:08Z</dcterms:modified>
  <cp:revision>0</cp:revision>
  <dc:subject/>
  <dc:title/>
</cp:coreProperties>
</file>